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0" documentId="13_ncr:1_{61DC28B1-9533-4470-B65F-B33ED2FA03BB}" xr6:coauthVersionLast="47" xr6:coauthVersionMax="47" xr10:uidLastSave="{00000000-0000-0000-0000-000000000000}"/>
  <bookViews>
    <workbookView xWindow="-60" yWindow="-60" windowWidth="25320" windowHeight="15270" xr2:uid="{00000000-000D-0000-FFFF-FFFF00000000}"/>
  </bookViews>
  <sheets>
    <sheet name="統計" sheetId="12" r:id="rId1"/>
    <sheet name="第1週" sheetId="1" r:id="rId2"/>
    <sheet name="第2週" sheetId="4" r:id="rId3"/>
    <sheet name="第3週" sheetId="5" r:id="rId4"/>
    <sheet name="第4週" sheetId="6" r:id="rId5"/>
    <sheet name="第5週" sheetId="7" r:id="rId6"/>
    <sheet name="第6週" sheetId="8" r:id="rId7"/>
    <sheet name="第7週" sheetId="9" r:id="rId8"/>
    <sheet name="第8週" sheetId="10" r:id="rId9"/>
    <sheet name="第9週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E5" i="11"/>
  <c r="E4" i="11"/>
  <c r="E3" i="11"/>
  <c r="E2" i="11"/>
  <c r="E6" i="10"/>
  <c r="E5" i="10"/>
  <c r="E4" i="10"/>
  <c r="E3" i="10"/>
  <c r="E2" i="10"/>
  <c r="E6" i="9"/>
  <c r="E5" i="9"/>
  <c r="E4" i="9"/>
  <c r="E3" i="9"/>
  <c r="E2" i="9"/>
  <c r="E6" i="8"/>
  <c r="E5" i="8"/>
  <c r="E4" i="8"/>
  <c r="E3" i="8"/>
  <c r="E2" i="8"/>
  <c r="E6" i="7"/>
  <c r="E5" i="7"/>
  <c r="E4" i="7"/>
  <c r="E3" i="7"/>
  <c r="E2" i="7"/>
  <c r="E5" i="6"/>
  <c r="E4" i="6"/>
  <c r="E3" i="6"/>
  <c r="E2" i="6"/>
  <c r="E6" i="5"/>
  <c r="E5" i="5"/>
  <c r="E4" i="5"/>
  <c r="E3" i="5"/>
  <c r="E2" i="5"/>
  <c r="E6" i="4"/>
  <c r="E5" i="4"/>
  <c r="E4" i="4"/>
  <c r="E3" i="4"/>
  <c r="E2" i="4"/>
  <c r="E3" i="1"/>
  <c r="E2" i="1"/>
  <c r="E5" i="1"/>
  <c r="E4" i="1"/>
  <c r="E10" i="4"/>
  <c r="E10" i="5"/>
  <c r="E10" i="6"/>
  <c r="E10" i="7"/>
  <c r="E10" i="8"/>
  <c r="E10" i="9"/>
  <c r="E10" i="10"/>
  <c r="E10" i="11"/>
  <c r="E10" i="1"/>
</calcChain>
</file>

<file path=xl/sharedStrings.xml><?xml version="1.0" encoding="utf-8"?>
<sst xmlns="http://schemas.openxmlformats.org/spreadsheetml/2006/main" count="142" uniqueCount="23">
  <si>
    <t>第1週～第5週的總金額：</t>
  </si>
  <si>
    <t>第1週～第3週，JAK001 的金額：</t>
  </si>
  <si>
    <t>日期</t>
    <rPh sb="0" eb="2">
      <t>ヒヅケ</t>
    </rPh>
    <phoneticPr fontId="19"/>
  </si>
  <si>
    <t>門市名稱</t>
    <rPh sb="0" eb="2">
      <t>テンポ</t>
    </rPh>
    <rPh sb="2" eb="3">
      <t>メイ</t>
    </rPh>
    <phoneticPr fontId="19"/>
  </si>
  <si>
    <t>商品編號</t>
    <rPh sb="0" eb="2">
      <t>ショウヒン</t>
    </rPh>
    <phoneticPr fontId="19"/>
  </si>
  <si>
    <t>件數</t>
    <rPh sb="0" eb="2">
      <t>マイスウ</t>
    </rPh>
    <phoneticPr fontId="19"/>
  </si>
  <si>
    <t>金額</t>
    <rPh sb="0" eb="2">
      <t>キンガク</t>
    </rPh>
    <phoneticPr fontId="19"/>
  </si>
  <si>
    <t>忠孝門市</t>
  </si>
  <si>
    <t>JAK001</t>
    <phoneticPr fontId="19"/>
  </si>
  <si>
    <t>新生門市</t>
  </si>
  <si>
    <t>JAK002</t>
  </si>
  <si>
    <t>南京門市</t>
  </si>
  <si>
    <t>復興門市</t>
  </si>
  <si>
    <t>JAK003</t>
  </si>
  <si>
    <t>合計</t>
  </si>
  <si>
    <t>京站門市</t>
  </si>
  <si>
    <t>松山門市</t>
  </si>
  <si>
    <t>JAK001</t>
  </si>
  <si>
    <t>站前門市</t>
  </si>
  <si>
    <t>JAK002</t>
    <phoneticPr fontId="19"/>
  </si>
  <si>
    <t>信義門市</t>
  </si>
  <si>
    <t>仁愛門市</t>
  </si>
  <si>
    <t>JAK003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</si>
</sst>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;[Red]&quot;¥&quot;\-#,##0"/>
    <numFmt numFmtId="177" formatCode="m/d\(aaa\)"/>
    <numFmt numFmtId="178" formatCode="_-* #,##0_-;\-* #,##0_-;_-* &quot;-&quot;??_-;_-@_-"/>
  </numFmts>
  <fonts count="25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2"/>
      <color indexed="8"/>
      <name val="PMingLiU"/>
      <family val="1"/>
      <charset val="136"/>
    </font>
    <font>
      <b/>
      <sz val="12"/>
      <color indexed="8"/>
      <name val="PMingLiU"/>
      <family val="1"/>
      <charset val="136"/>
    </font>
    <font>
      <sz val="9"/>
      <name val="細明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0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3" borderId="4" applyNumberFormat="0" applyAlignment="0" applyProtection="0">
      <alignment vertical="center"/>
    </xf>
    <xf numFmtId="0" fontId="8" fillId="23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1" fillId="0" borderId="0" xfId="87" applyFont="1">
      <alignment vertical="center"/>
    </xf>
    <xf numFmtId="0" fontId="21" fillId="0" borderId="10" xfId="87" applyFont="1" applyBorder="1">
      <alignment vertical="center"/>
    </xf>
    <xf numFmtId="38" fontId="21" fillId="0" borderId="10" xfId="67" applyFont="1" applyBorder="1">
      <alignment vertical="center"/>
    </xf>
    <xf numFmtId="0" fontId="20" fillId="24" borderId="13" xfId="87" applyFont="1" applyFill="1" applyBorder="1">
      <alignment vertical="center"/>
    </xf>
    <xf numFmtId="38" fontId="20" fillId="24" borderId="13" xfId="87" applyNumberFormat="1" applyFont="1" applyFill="1" applyBorder="1">
      <alignment vertical="center"/>
    </xf>
    <xf numFmtId="0" fontId="21" fillId="24" borderId="11" xfId="87" applyFont="1" applyFill="1" applyBorder="1">
      <alignment vertical="center"/>
    </xf>
    <xf numFmtId="0" fontId="21" fillId="0" borderId="14" xfId="87" applyFont="1" applyBorder="1">
      <alignment vertical="center"/>
    </xf>
    <xf numFmtId="0" fontId="21" fillId="0" borderId="13" xfId="87" applyFont="1" applyBorder="1">
      <alignment vertical="center"/>
    </xf>
    <xf numFmtId="0" fontId="20" fillId="24" borderId="13" xfId="87" applyFont="1" applyFill="1" applyBorder="1" applyAlignment="1">
      <alignment horizontal="center" vertical="center"/>
    </xf>
    <xf numFmtId="0" fontId="21" fillId="0" borderId="10" xfId="87" applyFont="1" applyBorder="1" applyAlignment="1">
      <alignment horizontal="center" vertical="center"/>
    </xf>
    <xf numFmtId="0" fontId="21" fillId="0" borderId="11" xfId="87" applyFont="1" applyBorder="1" applyAlignment="1">
      <alignment horizontal="center" vertical="center"/>
    </xf>
    <xf numFmtId="0" fontId="21" fillId="0" borderId="14" xfId="87" applyFont="1" applyBorder="1" applyAlignment="1">
      <alignment horizontal="center" vertical="center"/>
    </xf>
    <xf numFmtId="0" fontId="21" fillId="0" borderId="13" xfId="87" applyFont="1" applyBorder="1" applyAlignment="1">
      <alignment horizontal="center" vertical="center"/>
    </xf>
    <xf numFmtId="0" fontId="22" fillId="0" borderId="0" xfId="0" applyFont="1">
      <alignment vertical="center"/>
    </xf>
    <xf numFmtId="0" fontId="23" fillId="25" borderId="13" xfId="0" applyFont="1" applyFill="1" applyBorder="1">
      <alignment vertical="center"/>
    </xf>
    <xf numFmtId="177" fontId="21" fillId="0" borderId="12" xfId="87" applyNumberFormat="1" applyFont="1" applyBorder="1" applyAlignment="1">
      <alignment horizontal="center" vertical="center"/>
    </xf>
    <xf numFmtId="0" fontId="20" fillId="24" borderId="15" xfId="87" applyFont="1" applyFill="1" applyBorder="1" applyAlignment="1">
      <alignment horizontal="center" vertical="center"/>
    </xf>
    <xf numFmtId="0" fontId="20" fillId="24" borderId="16" xfId="87" applyFont="1" applyFill="1" applyBorder="1" applyAlignment="1">
      <alignment horizontal="center" vertical="center"/>
    </xf>
    <xf numFmtId="0" fontId="21" fillId="24" borderId="12" xfId="87" applyFont="1" applyFill="1" applyBorder="1">
      <alignment vertical="center"/>
    </xf>
    <xf numFmtId="178" fontId="23" fillId="0" borderId="13" xfId="0" applyNumberFormat="1" applyFont="1" applyBorder="1">
      <alignment vertical="center"/>
    </xf>
  </cellXfs>
  <cellStyles count="120">
    <cellStyle name="20% - アクセント 1 2" xfId="2" xr:uid="{00000000-0005-0000-0000-000000000000}"/>
    <cellStyle name="20% - アクセント 2 2" xfId="4" xr:uid="{00000000-0005-0000-0000-000001000000}"/>
    <cellStyle name="20% - アクセント 3 2" xfId="6" xr:uid="{00000000-0005-0000-0000-000002000000}"/>
    <cellStyle name="20% - アクセント 4 2" xfId="8" xr:uid="{00000000-0005-0000-0000-000003000000}"/>
    <cellStyle name="20% - アクセント 5 2" xfId="10" xr:uid="{00000000-0005-0000-0000-000004000000}"/>
    <cellStyle name="20% - アクセント 6 2" xfId="12" xr:uid="{00000000-0005-0000-0000-000005000000}"/>
    <cellStyle name="20% - 輔色1" xfId="1" builtinId="30" customBuiltin="1"/>
    <cellStyle name="20% - 輔色2" xfId="3" builtinId="34" customBuiltin="1"/>
    <cellStyle name="20% - 輔色3" xfId="5" builtinId="38" customBuiltin="1"/>
    <cellStyle name="20% - 輔色4" xfId="7" builtinId="42" customBuiltin="1"/>
    <cellStyle name="20% - 輔色5" xfId="9" builtinId="46" customBuiltin="1"/>
    <cellStyle name="20% - 輔色6" xfId="11" builtinId="50" customBuiltin="1"/>
    <cellStyle name="40% - アクセント 1 2" xfId="14" xr:uid="{00000000-0005-0000-0000-00000C000000}"/>
    <cellStyle name="40% - アクセント 2 2" xfId="16" xr:uid="{00000000-0005-0000-0000-00000D000000}"/>
    <cellStyle name="40% - アクセント 3 2" xfId="18" xr:uid="{00000000-0005-0000-0000-00000E000000}"/>
    <cellStyle name="40% - アクセント 4 2" xfId="20" xr:uid="{00000000-0005-0000-0000-00000F000000}"/>
    <cellStyle name="40% - アクセント 5 2" xfId="22" xr:uid="{00000000-0005-0000-0000-000010000000}"/>
    <cellStyle name="40% - アクセント 6 2" xfId="24" xr:uid="{00000000-0005-0000-0000-000011000000}"/>
    <cellStyle name="40% - 輔色1" xfId="13" builtinId="31" customBuiltin="1"/>
    <cellStyle name="40% - 輔色2" xfId="15" builtinId="35" customBuiltin="1"/>
    <cellStyle name="40% - 輔色3" xfId="17" builtinId="39" customBuiltin="1"/>
    <cellStyle name="40% - 輔色4" xfId="19" builtinId="43" customBuiltin="1"/>
    <cellStyle name="40% - 輔色5" xfId="21" builtinId="47" customBuiltin="1"/>
    <cellStyle name="40% - 輔色6" xfId="23" builtinId="51" customBuiltin="1"/>
    <cellStyle name="60% - アクセント 1 2" xfId="26" xr:uid="{00000000-0005-0000-0000-000018000000}"/>
    <cellStyle name="60% - アクセント 2 2" xfId="28" xr:uid="{00000000-0005-0000-0000-000019000000}"/>
    <cellStyle name="60% - アクセント 3 2" xfId="30" xr:uid="{00000000-0005-0000-0000-00001A000000}"/>
    <cellStyle name="60% - アクセント 4 2" xfId="32" xr:uid="{00000000-0005-0000-0000-00001B000000}"/>
    <cellStyle name="60% - アクセント 5 2" xfId="34" xr:uid="{00000000-0005-0000-0000-00001C000000}"/>
    <cellStyle name="60% - アクセント 6 2" xfId="36" xr:uid="{00000000-0005-0000-0000-00001D000000}"/>
    <cellStyle name="60% - 輔色1" xfId="25" builtinId="32" customBuiltin="1"/>
    <cellStyle name="60% - 輔色2" xfId="27" builtinId="36" customBuiltin="1"/>
    <cellStyle name="60% - 輔色3" xfId="29" builtinId="40" customBuiltin="1"/>
    <cellStyle name="60% - 輔色4" xfId="31" builtinId="44" customBuiltin="1"/>
    <cellStyle name="60% - 輔色5" xfId="33" builtinId="48" customBuiltin="1"/>
    <cellStyle name="60% - 輔色6" xfId="35" builtinId="52" customBuiltin="1"/>
    <cellStyle name="アクセント 1 2" xfId="38" xr:uid="{00000000-0005-0000-0000-000024000000}"/>
    <cellStyle name="アクセント 2 2" xfId="40" xr:uid="{00000000-0005-0000-0000-000025000000}"/>
    <cellStyle name="アクセント 3 2" xfId="42" xr:uid="{00000000-0005-0000-0000-000026000000}"/>
    <cellStyle name="アクセント 4 2" xfId="44" xr:uid="{00000000-0005-0000-0000-000027000000}"/>
    <cellStyle name="アクセント 5 2" xfId="46" xr:uid="{00000000-0005-0000-0000-000028000000}"/>
    <cellStyle name="アクセント 6 2" xfId="48" xr:uid="{00000000-0005-0000-0000-000029000000}"/>
    <cellStyle name="タイトル 2" xfId="50" xr:uid="{00000000-0005-0000-0000-00002A000000}"/>
    <cellStyle name="チェック セル 2" xfId="52" xr:uid="{00000000-0005-0000-0000-00002B000000}"/>
    <cellStyle name="どちらでもない 2" xfId="54" xr:uid="{00000000-0005-0000-0000-00002C000000}"/>
    <cellStyle name="パーセント 2" xfId="55" xr:uid="{00000000-0005-0000-0000-00002D000000}"/>
    <cellStyle name="メモ 2" xfId="57" xr:uid="{00000000-0005-0000-0000-00002E000000}"/>
    <cellStyle name="リンク セル 2" xfId="59" xr:uid="{00000000-0005-0000-0000-00002F000000}"/>
    <cellStyle name="一般" xfId="0" builtinId="0"/>
    <cellStyle name="入力 2" xfId="86" xr:uid="{00000000-0005-0000-0000-000031000000}"/>
    <cellStyle name="中等" xfId="53" builtinId="28" customBuiltin="1"/>
    <cellStyle name="出力 2" xfId="79" xr:uid="{00000000-0005-0000-0000-000034000000}"/>
    <cellStyle name="合計" xfId="76" builtinId="25" customBuiltin="1"/>
    <cellStyle name="好" xfId="118" builtinId="26" customBuiltin="1"/>
    <cellStyle name="良い 2" xfId="119" xr:uid="{00000000-0005-0000-0000-000037000000}"/>
    <cellStyle name="見出し 1 2" xfId="69" xr:uid="{00000000-0005-0000-0000-000038000000}"/>
    <cellStyle name="見出し 2 2" xfId="71" xr:uid="{00000000-0005-0000-0000-000039000000}"/>
    <cellStyle name="見出し 3 2" xfId="73" xr:uid="{00000000-0005-0000-0000-00003A000000}"/>
    <cellStyle name="見出し 4 2" xfId="75" xr:uid="{00000000-0005-0000-0000-00003B000000}"/>
    <cellStyle name="計算 2" xfId="63" xr:uid="{00000000-0005-0000-0000-00003C000000}"/>
    <cellStyle name="計算方式" xfId="62" builtinId="22" customBuiltin="1"/>
    <cellStyle name="桁区切り 2" xfId="66" xr:uid="{00000000-0005-0000-0000-00003E000000}"/>
    <cellStyle name="桁区切り 3" xfId="67" xr:uid="{00000000-0005-0000-0000-00003F000000}"/>
    <cellStyle name="悪い 2" xfId="61" xr:uid="{00000000-0005-0000-0000-000040000000}"/>
    <cellStyle name="通貨 2" xfId="82" xr:uid="{00000000-0005-0000-0000-000041000000}"/>
    <cellStyle name="通貨 2 2" xfId="83" xr:uid="{00000000-0005-0000-0000-000042000000}"/>
    <cellStyle name="通貨 3" xfId="84" xr:uid="{00000000-0005-0000-0000-000043000000}"/>
    <cellStyle name="連結的儲存格" xfId="58" builtinId="24" customBuiltin="1"/>
    <cellStyle name="備註" xfId="56" builtinId="10" customBuiltin="1"/>
    <cellStyle name="集計 2" xfId="77" xr:uid="{00000000-0005-0000-0000-000046000000}"/>
    <cellStyle name="說明文字" xfId="80" builtinId="53" customBuiltin="1"/>
    <cellStyle name="説明文 2" xfId="81" xr:uid="{00000000-0005-0000-0000-000048000000}"/>
    <cellStyle name="輔色1" xfId="37" builtinId="29" customBuiltin="1"/>
    <cellStyle name="輔色2" xfId="39" builtinId="33" customBuiltin="1"/>
    <cellStyle name="輔色3" xfId="41" builtinId="37" customBuiltin="1"/>
    <cellStyle name="輔色4" xfId="43" builtinId="41" customBuiltin="1"/>
    <cellStyle name="輔色5" xfId="45" builtinId="45" customBuiltin="1"/>
    <cellStyle name="輔色6" xfId="47" builtinId="49" customBuiltin="1"/>
    <cellStyle name="標準 10" xfId="87" xr:uid="{00000000-0005-0000-0000-00004F000000}"/>
    <cellStyle name="標準 11" xfId="88" xr:uid="{00000000-0005-0000-0000-000050000000}"/>
    <cellStyle name="標準 12" xfId="89" xr:uid="{00000000-0005-0000-0000-000051000000}"/>
    <cellStyle name="標準 2" xfId="90" xr:uid="{00000000-0005-0000-0000-000052000000}"/>
    <cellStyle name="標準 2 2" xfId="91" xr:uid="{00000000-0005-0000-0000-000053000000}"/>
    <cellStyle name="標準 2 2 2" xfId="92" xr:uid="{00000000-0005-0000-0000-000054000000}"/>
    <cellStyle name="標準 2 2 3" xfId="93" xr:uid="{00000000-0005-0000-0000-000055000000}"/>
    <cellStyle name="標準 2 2_第1章　基本集計" xfId="94" xr:uid="{00000000-0005-0000-0000-000056000000}"/>
    <cellStyle name="標準 2 3" xfId="95" xr:uid="{00000000-0005-0000-0000-000057000000}"/>
    <cellStyle name="標準 2_基本集計" xfId="96" xr:uid="{00000000-0005-0000-0000-000058000000}"/>
    <cellStyle name="標準 3" xfId="97" xr:uid="{00000000-0005-0000-0000-000059000000}"/>
    <cellStyle name="標準 3 2" xfId="98" xr:uid="{00000000-0005-0000-0000-00005A000000}"/>
    <cellStyle name="標準 3 2 2" xfId="99" xr:uid="{00000000-0005-0000-0000-00005B000000}"/>
    <cellStyle name="標準 3 2_第4章　集計アラカルト-複数編" xfId="100" xr:uid="{00000000-0005-0000-0000-00005C000000}"/>
    <cellStyle name="標準 3 3" xfId="101" xr:uid="{00000000-0005-0000-0000-00005D000000}"/>
    <cellStyle name="標準 3_基本集計" xfId="102" xr:uid="{00000000-0005-0000-0000-00005E000000}"/>
    <cellStyle name="標準 4" xfId="103" xr:uid="{00000000-0005-0000-0000-00005F000000}"/>
    <cellStyle name="標準 4 2" xfId="104" xr:uid="{00000000-0005-0000-0000-000060000000}"/>
    <cellStyle name="標準 4_第4章　集計アラカルト-複数編" xfId="105" xr:uid="{00000000-0005-0000-0000-000061000000}"/>
    <cellStyle name="標準 5" xfId="106" xr:uid="{00000000-0005-0000-0000-000062000000}"/>
    <cellStyle name="標準 5 2" xfId="107" xr:uid="{00000000-0005-0000-0000-000063000000}"/>
    <cellStyle name="標準 5_第4章　集計アラカルト-複数編" xfId="108" xr:uid="{00000000-0005-0000-0000-000064000000}"/>
    <cellStyle name="標準 6" xfId="109" xr:uid="{00000000-0005-0000-0000-000065000000}"/>
    <cellStyle name="標準 6 2" xfId="110" xr:uid="{00000000-0005-0000-0000-000066000000}"/>
    <cellStyle name="標準 6_第4章　集計アラカルト-複数編" xfId="111" xr:uid="{00000000-0005-0000-0000-000067000000}"/>
    <cellStyle name="標準 7" xfId="112" xr:uid="{00000000-0005-0000-0000-000068000000}"/>
    <cellStyle name="標準 7 2" xfId="113" xr:uid="{00000000-0005-0000-0000-000069000000}"/>
    <cellStyle name="標準 7 3" xfId="114" xr:uid="{00000000-0005-0000-0000-00006A000000}"/>
    <cellStyle name="標準 7_第2章　条件集計 　5日" xfId="115" xr:uid="{00000000-0005-0000-0000-00006B000000}"/>
    <cellStyle name="標準 8" xfId="116" xr:uid="{00000000-0005-0000-0000-00006C000000}"/>
    <cellStyle name="標準 9" xfId="117" xr:uid="{00000000-0005-0000-0000-00006D000000}"/>
    <cellStyle name="標題" xfId="49" builtinId="15" customBuiltin="1"/>
    <cellStyle name="標題 1" xfId="68" builtinId="16" customBuiltin="1"/>
    <cellStyle name="標題 2" xfId="70" builtinId="17" customBuiltin="1"/>
    <cellStyle name="標題 3" xfId="72" builtinId="18" customBuiltin="1"/>
    <cellStyle name="標題 4" xfId="74" builtinId="19" customBuiltin="1"/>
    <cellStyle name="輸入" xfId="85" builtinId="20" customBuiltin="1"/>
    <cellStyle name="輸出" xfId="78" builtinId="21" customBuiltin="1"/>
    <cellStyle name="檢查儲存格" xfId="51" builtinId="23" customBuiltin="1"/>
    <cellStyle name="壞" xfId="60" builtinId="27" customBuiltin="1"/>
    <cellStyle name="警告文 2" xfId="65" xr:uid="{00000000-0005-0000-0000-000077000000}"/>
    <cellStyle name="警告文字" xfId="64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numFmt numFmtId="177" formatCode="m/d\(aaa\)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細明體"/>
        <family val="1"/>
        <charset val="136"/>
        <scheme val="minor"/>
      </font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55C88-B51A-4391-B906-74CFAD6EFB90}" name="表格1" displayName="表格1" ref="A1:E10" totalsRowShown="0" headerRowDxfId="70" headerRowBorderDxfId="69" tableBorderDxfId="68" headerRowCellStyle="標準 10">
  <autoFilter ref="A1:E10" xr:uid="{30455C88-B51A-4391-B906-74CFAD6EFB90}"/>
  <tableColumns count="5">
    <tableColumn id="1" xr3:uid="{AA5F767A-AE83-4DAC-B84D-C651BFD13822}" name="日期" dataDxfId="67" dataCellStyle="標準 10"/>
    <tableColumn id="2" xr3:uid="{71159CF3-6725-41A7-9192-4B0DDEE534E2}" name="門市名稱" dataDxfId="66" dataCellStyle="標準 10"/>
    <tableColumn id="3" xr3:uid="{9DB8CEE8-ED1C-4A33-9AA3-9FF65CF2A7C5}" name="商品編號" dataDxfId="65" dataCellStyle="標準 10"/>
    <tableColumn id="4" xr3:uid="{36773C08-8788-45C6-AD92-0367DDF80E49}" name="件數" dataDxfId="64" dataCellStyle="標準 10"/>
    <tableColumn id="5" xr3:uid="{5E30337A-3A6D-4375-8F6E-E1DBE1D4AC07}" name="金額" dataDxfId="63" dataCellStyle="桁区切り 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0BB8C5-680F-4C79-BE23-7E9B780393A8}" name="表格2" displayName="表格2" ref="A1:E10" totalsRowShown="0" headerRowDxfId="62" headerRowBorderDxfId="61" tableBorderDxfId="60" headerRowCellStyle="標準 10">
  <autoFilter ref="A1:E10" xr:uid="{C60BB8C5-680F-4C79-BE23-7E9B780393A8}"/>
  <tableColumns count="5">
    <tableColumn id="1" xr3:uid="{36700DFC-0D71-45EC-AE8D-F6228BBD25A6}" name="日期" dataDxfId="59" dataCellStyle="標準 10"/>
    <tableColumn id="2" xr3:uid="{EEBF8970-F69A-47EE-A295-636180F5B4C2}" name="門市名稱" dataDxfId="58" dataCellStyle="標準 10"/>
    <tableColumn id="3" xr3:uid="{85ED3CF7-1265-496D-9850-874620B4AF54}" name="商品編號" dataDxfId="57" dataCellStyle="標準 10"/>
    <tableColumn id="4" xr3:uid="{9CB2DF48-4FF9-4ADD-A2AF-08605ED552AD}" name="件數" dataDxfId="56" dataCellStyle="標準 10"/>
    <tableColumn id="5" xr3:uid="{C59DCAC1-C1A0-4648-95F2-4C6DD6A57E78}" name="金額" dataDxfId="55" dataCellStyle="桁区切り 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881BA3-02F4-48E0-9445-AD1238930041}" name="表格3" displayName="表格3" ref="A1:E10" totalsRowShown="0" headerRowDxfId="54" headerRowBorderDxfId="53" tableBorderDxfId="52" headerRowCellStyle="標準 10">
  <autoFilter ref="A1:E10" xr:uid="{81881BA3-02F4-48E0-9445-AD1238930041}"/>
  <tableColumns count="5">
    <tableColumn id="1" xr3:uid="{70E51AE8-D638-448A-B05E-892F4A8F14BD}" name="日期" dataDxfId="51" dataCellStyle="標準 10"/>
    <tableColumn id="2" xr3:uid="{D844D5B5-B7F7-4F42-9C79-E361FA6B97F0}" name="門市名稱" dataDxfId="50" dataCellStyle="標準 10"/>
    <tableColumn id="3" xr3:uid="{ABFD677E-22A5-42E6-86E9-C2E538FC591B}" name="商品編號" dataDxfId="49" dataCellStyle="標準 10"/>
    <tableColumn id="4" xr3:uid="{C3EE3600-7C1A-4900-9E8F-E9301E969078}" name="件數" dataDxfId="48" dataCellStyle="標準 10"/>
    <tableColumn id="5" xr3:uid="{F7E6B066-BE15-4124-9E7E-14E5107A82A5}" name="金額" dataDxfId="47" dataCellStyle="桁区切り 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A2D7F1-CC51-40BA-AEDD-CD8EC48EEFB6}" name="表格4" displayName="表格4" ref="A1:E10" totalsRowShown="0" headerRowDxfId="46" headerRowBorderDxfId="45" tableBorderDxfId="44" headerRowCellStyle="標準 10">
  <autoFilter ref="A1:E10" xr:uid="{29A2D7F1-CC51-40BA-AEDD-CD8EC48EEFB6}"/>
  <tableColumns count="5">
    <tableColumn id="1" xr3:uid="{9636906C-90D2-48D8-8840-F606069AF39A}" name="日期" dataDxfId="43" dataCellStyle="標準 10"/>
    <tableColumn id="2" xr3:uid="{F8C688E5-47C9-4ECE-9F9E-B8D17CDE9CA3}" name="門市名稱" dataDxfId="42" dataCellStyle="標準 10"/>
    <tableColumn id="3" xr3:uid="{F08B1EC4-9B45-4A38-BD73-1393D104087A}" name="商品編號" dataDxfId="41" dataCellStyle="標準 10"/>
    <tableColumn id="4" xr3:uid="{0AE520ED-877D-40EC-A608-1DC44A46CF36}" name="件數" dataDxfId="40" dataCellStyle="標準 10"/>
    <tableColumn id="5" xr3:uid="{B0F9858C-A56C-4A35-AF12-D0A7E05A94F7}" name="金額" dataDxfId="39" dataCellStyle="桁区切り 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A3FA3B-E303-4DCA-AD37-390E9E3EA107}" name="表格5" displayName="表格5" ref="A1:E10" totalsRowShown="0" headerRowDxfId="38" headerRowBorderDxfId="37" tableBorderDxfId="36" headerRowCellStyle="標準 10">
  <autoFilter ref="A1:E10" xr:uid="{62A3FA3B-E303-4DCA-AD37-390E9E3EA107}"/>
  <tableColumns count="5">
    <tableColumn id="1" xr3:uid="{4FD47E9E-1F11-416C-BFFE-6297996EEB5A}" name="日期" dataDxfId="35" dataCellStyle="標準 10"/>
    <tableColumn id="2" xr3:uid="{6EEE8CDE-DE3E-495B-854C-F91A18C7B9C9}" name="門市名稱" dataDxfId="34" dataCellStyle="標準 10"/>
    <tableColumn id="3" xr3:uid="{53471E25-5A49-421A-B253-D61B8053D184}" name="商品編號"/>
    <tableColumn id="4" xr3:uid="{DEFDB3FC-609F-48EB-AB53-4BD1C3B4B38F}" name="件數" dataDxfId="33" dataCellStyle="標準 10"/>
    <tableColumn id="5" xr3:uid="{15E6E686-7E4A-4D8E-AA65-FBCB554A6C1E}" name="金額" dataDxfId="32" dataCellStyle="桁区切り 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61C73B-4ACE-467D-A09B-367215050F9B}" name="表格6" displayName="表格6" ref="A1:E10" totalsRowShown="0" headerRowDxfId="31" headerRowBorderDxfId="30" tableBorderDxfId="29" headerRowCellStyle="標準 10">
  <autoFilter ref="A1:E10" xr:uid="{1561C73B-4ACE-467D-A09B-367215050F9B}"/>
  <tableColumns count="5">
    <tableColumn id="1" xr3:uid="{0EC44686-9F25-46A7-8391-33DE81576CF2}" name="日期" dataDxfId="28" dataCellStyle="標準 10"/>
    <tableColumn id="2" xr3:uid="{7009FC08-8EBB-45B2-A5E1-B184AA589892}" name="門市名稱" dataDxfId="27" dataCellStyle="標準 10"/>
    <tableColumn id="3" xr3:uid="{4C0D7B84-8BEF-4E53-8D0A-C5F18318E51A}" name="商品編號" dataDxfId="26" dataCellStyle="標準 10"/>
    <tableColumn id="4" xr3:uid="{6DE7BF13-E3DA-40EE-8520-1A824216768B}" name="件數" dataDxfId="25" dataCellStyle="標準 10"/>
    <tableColumn id="5" xr3:uid="{70FE474B-FFF1-4B5F-B40C-CE6E5E46C489}" name="金額" dataDxfId="24" dataCellStyle="桁区切り 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989354-50CE-4AF7-A143-400367955A2B}" name="表格7" displayName="表格7" ref="A1:E10" totalsRowShown="0" headerRowDxfId="23" headerRowBorderDxfId="22" tableBorderDxfId="21" headerRowCellStyle="標準 10">
  <autoFilter ref="A1:E10" xr:uid="{8B989354-50CE-4AF7-A143-400367955A2B}"/>
  <tableColumns count="5">
    <tableColumn id="1" xr3:uid="{E519CA8C-3941-494B-858B-72821E8AB1EF}" name="日期" dataDxfId="20" dataCellStyle="標準 10"/>
    <tableColumn id="2" xr3:uid="{96BE22A4-16D8-4506-9DDD-315199E96F5B}" name="門市名稱" dataDxfId="19" dataCellStyle="標準 10"/>
    <tableColumn id="3" xr3:uid="{1091B41B-51D4-400B-B4C6-A125599DCDB6}" name="商品編號" dataDxfId="18" dataCellStyle="標準 10"/>
    <tableColumn id="4" xr3:uid="{BADE3F8C-2C33-4D32-8D27-03DBEF6E32AB}" name="件數" dataDxfId="17" dataCellStyle="標準 10"/>
    <tableColumn id="5" xr3:uid="{715FEA1D-5BDC-473F-B18B-7FA144B6CFAA}" name="金額" dataDxfId="16" dataCellStyle="桁区切り 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DA43E9-A0C6-4518-B023-722B06E29214}" name="表格8" displayName="表格8" ref="A1:E10" totalsRowShown="0" headerRowDxfId="15" headerRowBorderDxfId="14" tableBorderDxfId="13" headerRowCellStyle="標準 10">
  <autoFilter ref="A1:E10" xr:uid="{49DA43E9-A0C6-4518-B023-722B06E29214}"/>
  <tableColumns count="5">
    <tableColumn id="1" xr3:uid="{427BDF90-16D8-4269-A78F-CADC26C25031}" name="日期" dataDxfId="12" dataCellStyle="標準 10"/>
    <tableColumn id="2" xr3:uid="{628B5276-5891-466D-B0DE-77270CA5BEDA}" name="門市名稱" dataDxfId="11" dataCellStyle="標準 10"/>
    <tableColumn id="3" xr3:uid="{C0E4153F-7F2A-47DF-97AD-D717D1316B62}" name="商品編號" dataDxfId="10" dataCellStyle="標準 10"/>
    <tableColumn id="4" xr3:uid="{2B24E128-3412-4354-9656-C12F8277CFC2}" name="件數" dataDxfId="9" dataCellStyle="標準 10"/>
    <tableColumn id="5" xr3:uid="{FEB7D1EC-2381-4493-8108-2EEF3034BB48}" name="金額" dataDxfId="8" dataCellStyle="桁区切り 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8B77F9-1C19-4EFA-872A-4BAA63273327}" name="表格9" displayName="表格9" ref="A1:E10" totalsRowShown="0" headerRowDxfId="7" headerRowBorderDxfId="6" tableBorderDxfId="5" headerRowCellStyle="標準 10">
  <autoFilter ref="A1:E10" xr:uid="{278B77F9-1C19-4EFA-872A-4BAA63273327}"/>
  <tableColumns count="5">
    <tableColumn id="1" xr3:uid="{F978B09A-4D16-4D13-AA27-64EC2360E2A1}" name="日期" dataDxfId="4" dataCellStyle="標準 10"/>
    <tableColumn id="2" xr3:uid="{F721E43B-58D4-417D-8D74-62D2B691EACF}" name="門市名稱" dataDxfId="3" dataCellStyle="標準 10"/>
    <tableColumn id="3" xr3:uid="{3F1B9776-0A9A-4980-8A8F-E3E95EAC670D}" name="商品編號" dataDxfId="2" dataCellStyle="標準 10"/>
    <tableColumn id="4" xr3:uid="{DDAD9590-D891-42C4-B111-CED9F4469F05}" name="件數" dataDxfId="1" dataCellStyle="標準 10"/>
    <tableColumn id="5" xr3:uid="{11505728-3782-43AC-8E1D-6E83BF430942}" name="金額" dataDxfId="0" dataCellStyle="桁区切り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CB17-5CF5-40E4-817B-E1008ADF971B}">
  <dimension ref="A1:B2"/>
  <sheetViews>
    <sheetView tabSelected="1" workbookViewId="0">
      <selection activeCell="B1" sqref="B1"/>
    </sheetView>
  </sheetViews>
  <sheetFormatPr defaultColWidth="9.125" defaultRowHeight="16.5"/>
  <cols>
    <col min="1" max="1" width="34.75" style="14" customWidth="1"/>
    <col min="2" max="2" width="18.25" style="14" customWidth="1"/>
    <col min="3" max="16384" width="9.125" style="14"/>
  </cols>
  <sheetData>
    <row r="1" spans="1:2">
      <c r="A1" s="15" t="s">
        <v>0</v>
      </c>
      <c r="B1" s="20"/>
    </row>
    <row r="2" spans="1:2">
      <c r="A2" s="15" t="s">
        <v>1</v>
      </c>
      <c r="B2" s="20"/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45658</v>
      </c>
      <c r="B2" s="10" t="s">
        <v>7</v>
      </c>
      <c r="C2" s="10" t="s">
        <v>8</v>
      </c>
      <c r="D2" s="2">
        <v>27</v>
      </c>
      <c r="E2" s="3">
        <f>D2*999</f>
        <v>26973</v>
      </c>
    </row>
    <row r="3" spans="1:5">
      <c r="A3" s="16">
        <v>45659</v>
      </c>
      <c r="B3" s="10" t="s">
        <v>9</v>
      </c>
      <c r="C3" s="12" t="s">
        <v>10</v>
      </c>
      <c r="D3" s="7">
        <v>20</v>
      </c>
      <c r="E3" s="3">
        <f>D3*888</f>
        <v>17760</v>
      </c>
    </row>
    <row r="4" spans="1:5">
      <c r="A4" s="16">
        <v>45660</v>
      </c>
      <c r="B4" s="11" t="s">
        <v>11</v>
      </c>
      <c r="C4" s="12" t="s">
        <v>10</v>
      </c>
      <c r="D4" s="8">
        <v>55</v>
      </c>
      <c r="E4" s="3">
        <f>D4*888</f>
        <v>48840</v>
      </c>
    </row>
    <row r="5" spans="1:5">
      <c r="A5" s="16">
        <v>45661</v>
      </c>
      <c r="B5" s="11" t="s">
        <v>12</v>
      </c>
      <c r="C5" s="12" t="s">
        <v>13</v>
      </c>
      <c r="D5" s="8">
        <v>60</v>
      </c>
      <c r="E5" s="3">
        <f>D5*666</f>
        <v>39960</v>
      </c>
    </row>
    <row r="6" spans="1:5">
      <c r="A6" s="16"/>
      <c r="B6" s="11"/>
      <c r="C6" s="13"/>
      <c r="D6" s="8"/>
      <c r="E6" s="3"/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133533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45662</v>
      </c>
      <c r="B2" s="10" t="s">
        <v>15</v>
      </c>
      <c r="C2" s="10" t="s">
        <v>8</v>
      </c>
      <c r="D2" s="2">
        <v>78</v>
      </c>
      <c r="E2" s="3">
        <f>D2*999</f>
        <v>77922</v>
      </c>
    </row>
    <row r="3" spans="1:5">
      <c r="A3" s="16">
        <v>45663</v>
      </c>
      <c r="B3" s="10" t="s">
        <v>16</v>
      </c>
      <c r="C3" s="12" t="s">
        <v>13</v>
      </c>
      <c r="D3" s="7">
        <v>85</v>
      </c>
      <c r="E3" s="3">
        <f>D3*666</f>
        <v>56610</v>
      </c>
    </row>
    <row r="4" spans="1:5">
      <c r="A4" s="16">
        <v>45665</v>
      </c>
      <c r="B4" s="11" t="s">
        <v>7</v>
      </c>
      <c r="C4" s="12" t="s">
        <v>10</v>
      </c>
      <c r="D4" s="8">
        <v>64</v>
      </c>
      <c r="E4" s="3">
        <f>D4*888</f>
        <v>56832</v>
      </c>
    </row>
    <row r="5" spans="1:5">
      <c r="A5" s="16">
        <v>45666</v>
      </c>
      <c r="B5" s="11" t="s">
        <v>11</v>
      </c>
      <c r="C5" s="12" t="s">
        <v>17</v>
      </c>
      <c r="D5" s="8">
        <v>57</v>
      </c>
      <c r="E5" s="3">
        <f>D5*999</f>
        <v>56943</v>
      </c>
    </row>
    <row r="6" spans="1:5">
      <c r="A6" s="16">
        <v>45668</v>
      </c>
      <c r="B6" s="11" t="s">
        <v>9</v>
      </c>
      <c r="C6" s="13" t="s">
        <v>17</v>
      </c>
      <c r="D6" s="8">
        <v>66</v>
      </c>
      <c r="E6" s="3">
        <f>D6*999</f>
        <v>65934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314241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45669</v>
      </c>
      <c r="B2" s="10" t="s">
        <v>18</v>
      </c>
      <c r="C2" s="10" t="s">
        <v>19</v>
      </c>
      <c r="D2" s="2">
        <v>45</v>
      </c>
      <c r="E2" s="3">
        <f>D2*888</f>
        <v>39960</v>
      </c>
    </row>
    <row r="3" spans="1:5">
      <c r="A3" s="16">
        <v>45671</v>
      </c>
      <c r="B3" s="10" t="s">
        <v>9</v>
      </c>
      <c r="C3" s="12" t="s">
        <v>8</v>
      </c>
      <c r="D3" s="7">
        <v>78</v>
      </c>
      <c r="E3" s="3">
        <f>D3*999</f>
        <v>77922</v>
      </c>
    </row>
    <row r="4" spans="1:5">
      <c r="A4" s="16">
        <v>45672</v>
      </c>
      <c r="B4" s="11" t="s">
        <v>20</v>
      </c>
      <c r="C4" s="10" t="s">
        <v>13</v>
      </c>
      <c r="D4" s="8">
        <v>105</v>
      </c>
      <c r="E4" s="3">
        <f>D4*666</f>
        <v>69930</v>
      </c>
    </row>
    <row r="5" spans="1:5">
      <c r="A5" s="16">
        <v>45674</v>
      </c>
      <c r="B5" s="11" t="s">
        <v>7</v>
      </c>
      <c r="C5" s="12" t="s">
        <v>10</v>
      </c>
      <c r="D5" s="8">
        <v>66</v>
      </c>
      <c r="E5" s="3">
        <f>D5*888</f>
        <v>58608</v>
      </c>
    </row>
    <row r="6" spans="1:5">
      <c r="A6" s="16">
        <v>45675</v>
      </c>
      <c r="B6" s="11" t="s">
        <v>21</v>
      </c>
      <c r="C6" s="12" t="s">
        <v>17</v>
      </c>
      <c r="D6" s="8">
        <v>99</v>
      </c>
      <c r="E6" s="3">
        <f>D6*999</f>
        <v>98901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345321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45676</v>
      </c>
      <c r="B2" s="10" t="s">
        <v>7</v>
      </c>
      <c r="C2" s="10" t="s">
        <v>8</v>
      </c>
      <c r="D2" s="2">
        <v>99</v>
      </c>
      <c r="E2" s="3">
        <f>D2*999</f>
        <v>98901</v>
      </c>
    </row>
    <row r="3" spans="1:5">
      <c r="A3" s="16">
        <v>45679</v>
      </c>
      <c r="B3" s="10" t="s">
        <v>20</v>
      </c>
      <c r="C3" s="12" t="s">
        <v>13</v>
      </c>
      <c r="D3" s="7">
        <v>87</v>
      </c>
      <c r="E3" s="3">
        <f>D3*666</f>
        <v>57942</v>
      </c>
    </row>
    <row r="4" spans="1:5">
      <c r="A4" s="16">
        <v>45681</v>
      </c>
      <c r="B4" s="11" t="s">
        <v>16</v>
      </c>
      <c r="C4" s="12" t="s">
        <v>10</v>
      </c>
      <c r="D4" s="8">
        <v>95</v>
      </c>
      <c r="E4" s="3">
        <f>D4*888</f>
        <v>84360</v>
      </c>
    </row>
    <row r="5" spans="1:5">
      <c r="A5" s="16">
        <v>45682</v>
      </c>
      <c r="B5" s="11" t="s">
        <v>11</v>
      </c>
      <c r="C5" s="12" t="s">
        <v>13</v>
      </c>
      <c r="D5" s="8">
        <v>79</v>
      </c>
      <c r="E5" s="3">
        <f>D5*666</f>
        <v>52614</v>
      </c>
    </row>
    <row r="6" spans="1:5">
      <c r="A6" s="16"/>
      <c r="B6" s="11"/>
      <c r="C6" s="13"/>
      <c r="D6" s="8"/>
      <c r="E6" s="3"/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293817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45683</v>
      </c>
      <c r="B2" s="10" t="s">
        <v>12</v>
      </c>
      <c r="C2" s="10" t="s">
        <v>22</v>
      </c>
      <c r="D2" s="2">
        <v>87</v>
      </c>
      <c r="E2" s="3">
        <f>D2*666</f>
        <v>57942</v>
      </c>
    </row>
    <row r="3" spans="1:5">
      <c r="A3" s="16">
        <v>45684</v>
      </c>
      <c r="B3" s="10" t="s">
        <v>9</v>
      </c>
      <c r="C3" s="12" t="s">
        <v>13</v>
      </c>
      <c r="D3" s="7">
        <v>59</v>
      </c>
      <c r="E3" s="3">
        <f>D3*666</f>
        <v>39294</v>
      </c>
    </row>
    <row r="4" spans="1:5">
      <c r="A4" s="16">
        <v>45685</v>
      </c>
      <c r="B4" s="11" t="s">
        <v>7</v>
      </c>
      <c r="C4" s="12" t="s">
        <v>8</v>
      </c>
      <c r="D4" s="8">
        <v>99</v>
      </c>
      <c r="E4" s="3">
        <f>D4*999</f>
        <v>98901</v>
      </c>
    </row>
    <row r="5" spans="1:5">
      <c r="A5" s="16">
        <v>45687</v>
      </c>
      <c r="B5" s="11" t="s">
        <v>20</v>
      </c>
      <c r="C5" s="12" t="s">
        <v>10</v>
      </c>
      <c r="D5" s="8">
        <v>74</v>
      </c>
      <c r="E5" s="3">
        <f>D5*888</f>
        <v>65712</v>
      </c>
    </row>
    <row r="6" spans="1:5">
      <c r="A6" s="16">
        <v>45688</v>
      </c>
      <c r="B6" s="11" t="s">
        <v>11</v>
      </c>
      <c r="C6" s="12" t="s">
        <v>17</v>
      </c>
      <c r="D6" s="8">
        <v>105</v>
      </c>
      <c r="E6" s="3">
        <f>D6*999</f>
        <v>104895</v>
      </c>
    </row>
    <row r="7" spans="1:5">
      <c r="A7" s="16"/>
      <c r="B7" s="11"/>
      <c r="C7" s="12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366744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45691</v>
      </c>
      <c r="B2" s="10" t="s">
        <v>9</v>
      </c>
      <c r="C2" s="10" t="s">
        <v>19</v>
      </c>
      <c r="D2" s="2">
        <v>110</v>
      </c>
      <c r="E2" s="3">
        <f>D2*888</f>
        <v>97680</v>
      </c>
    </row>
    <row r="3" spans="1:5">
      <c r="A3" s="16">
        <v>45692</v>
      </c>
      <c r="B3" s="10" t="s">
        <v>7</v>
      </c>
      <c r="C3" s="10" t="s">
        <v>17</v>
      </c>
      <c r="D3" s="7">
        <v>98</v>
      </c>
      <c r="E3" s="3">
        <f>D3*999</f>
        <v>97902</v>
      </c>
    </row>
    <row r="4" spans="1:5">
      <c r="A4" s="16">
        <v>45693</v>
      </c>
      <c r="B4" s="11" t="s">
        <v>11</v>
      </c>
      <c r="C4" s="10" t="s">
        <v>10</v>
      </c>
      <c r="D4" s="8">
        <v>77</v>
      </c>
      <c r="E4" s="3">
        <f>D4*888</f>
        <v>68376</v>
      </c>
    </row>
    <row r="5" spans="1:5">
      <c r="A5" s="16">
        <v>45695</v>
      </c>
      <c r="B5" s="11" t="s">
        <v>15</v>
      </c>
      <c r="C5" s="10" t="s">
        <v>13</v>
      </c>
      <c r="D5" s="8">
        <v>89</v>
      </c>
      <c r="E5" s="3">
        <f>D5*666</f>
        <v>59274</v>
      </c>
    </row>
    <row r="6" spans="1:5">
      <c r="A6" s="16">
        <v>45696</v>
      </c>
      <c r="B6" s="11" t="s">
        <v>16</v>
      </c>
      <c r="C6" s="10" t="s">
        <v>17</v>
      </c>
      <c r="D6" s="8">
        <v>105</v>
      </c>
      <c r="E6" s="3">
        <f>D6*999</f>
        <v>104895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428127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45697</v>
      </c>
      <c r="B2" s="10" t="s">
        <v>7</v>
      </c>
      <c r="C2" s="10" t="s">
        <v>22</v>
      </c>
      <c r="D2" s="2">
        <v>110</v>
      </c>
      <c r="E2" s="3">
        <f>D2*666</f>
        <v>73260</v>
      </c>
    </row>
    <row r="3" spans="1:5">
      <c r="A3" s="16">
        <v>45699</v>
      </c>
      <c r="B3" s="10" t="s">
        <v>16</v>
      </c>
      <c r="C3" s="12" t="s">
        <v>10</v>
      </c>
      <c r="D3" s="7">
        <v>85</v>
      </c>
      <c r="E3" s="3">
        <f>D3*888</f>
        <v>75480</v>
      </c>
    </row>
    <row r="4" spans="1:5">
      <c r="A4" s="16">
        <v>45701</v>
      </c>
      <c r="B4" s="11" t="s">
        <v>12</v>
      </c>
      <c r="C4" s="10" t="s">
        <v>22</v>
      </c>
      <c r="D4" s="8">
        <v>78</v>
      </c>
      <c r="E4" s="3">
        <f>D4*666</f>
        <v>51948</v>
      </c>
    </row>
    <row r="5" spans="1:5">
      <c r="A5" s="16">
        <v>45702</v>
      </c>
      <c r="B5" s="11" t="s">
        <v>20</v>
      </c>
      <c r="C5" s="10" t="s">
        <v>17</v>
      </c>
      <c r="D5" s="8">
        <v>100</v>
      </c>
      <c r="E5" s="3">
        <f>D5*999</f>
        <v>99900</v>
      </c>
    </row>
    <row r="6" spans="1:5">
      <c r="A6" s="16">
        <v>45703</v>
      </c>
      <c r="B6" s="11" t="s">
        <v>11</v>
      </c>
      <c r="C6" s="12" t="s">
        <v>10</v>
      </c>
      <c r="D6" s="8">
        <v>98</v>
      </c>
      <c r="E6" s="3">
        <f>D6*888</f>
        <v>87024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387612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defaultColWidth="9" defaultRowHeight="16.5"/>
  <cols>
    <col min="1" max="5" width="12.75" style="1" customWidth="1"/>
    <col min="6" max="16384" width="9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45704</v>
      </c>
      <c r="B2" s="10" t="s">
        <v>16</v>
      </c>
      <c r="C2" s="10" t="s">
        <v>19</v>
      </c>
      <c r="D2" s="2">
        <v>84</v>
      </c>
      <c r="E2" s="3">
        <f>D2*888</f>
        <v>74592</v>
      </c>
    </row>
    <row r="3" spans="1:5">
      <c r="A3" s="16">
        <v>45706</v>
      </c>
      <c r="B3" s="10" t="s">
        <v>20</v>
      </c>
      <c r="C3" s="12" t="s">
        <v>8</v>
      </c>
      <c r="D3" s="7">
        <v>104</v>
      </c>
      <c r="E3" s="3">
        <f>D3*999</f>
        <v>103896</v>
      </c>
    </row>
    <row r="4" spans="1:5">
      <c r="A4" s="16">
        <v>45707</v>
      </c>
      <c r="B4" s="11" t="s">
        <v>7</v>
      </c>
      <c r="C4" s="12" t="s">
        <v>13</v>
      </c>
      <c r="D4" s="8">
        <v>98</v>
      </c>
      <c r="E4" s="3">
        <f>D4*666</f>
        <v>65268</v>
      </c>
    </row>
    <row r="5" spans="1:5">
      <c r="A5" s="16">
        <v>45709</v>
      </c>
      <c r="B5" s="11" t="s">
        <v>9</v>
      </c>
      <c r="C5" s="10" t="s">
        <v>17</v>
      </c>
      <c r="D5" s="8">
        <v>78</v>
      </c>
      <c r="E5" s="3">
        <f>D5*999</f>
        <v>77922</v>
      </c>
    </row>
    <row r="6" spans="1:5">
      <c r="A6" s="16">
        <v>45710</v>
      </c>
      <c r="B6" s="11" t="s">
        <v>15</v>
      </c>
      <c r="C6" s="12" t="s">
        <v>10</v>
      </c>
      <c r="D6" s="8">
        <v>110</v>
      </c>
      <c r="E6" s="3">
        <f>D6*888</f>
        <v>97680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 ht="16.5" customHeight="1">
      <c r="A10" s="19"/>
      <c r="B10" s="6"/>
      <c r="C10" s="4"/>
      <c r="D10" s="9" t="s">
        <v>14</v>
      </c>
      <c r="E10" s="5">
        <f>SUM(E2:E9)</f>
        <v>419358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ColWidth="8.375" defaultRowHeight="16.5"/>
  <cols>
    <col min="1" max="5" width="12.75" style="1" customWidth="1"/>
    <col min="6" max="16384" width="8.375" style="1"/>
  </cols>
  <sheetData>
    <row r="1" spans="1:5">
      <c r="A1" s="17" t="s">
        <v>2</v>
      </c>
      <c r="B1" s="18" t="s">
        <v>3</v>
      </c>
      <c r="C1" s="18" t="s">
        <v>4</v>
      </c>
      <c r="D1" s="18" t="s">
        <v>5</v>
      </c>
      <c r="E1" s="18" t="s">
        <v>6</v>
      </c>
    </row>
    <row r="2" spans="1:5">
      <c r="A2" s="16">
        <v>45711</v>
      </c>
      <c r="B2" s="10" t="s">
        <v>21</v>
      </c>
      <c r="C2" s="10" t="s">
        <v>8</v>
      </c>
      <c r="D2" s="2">
        <v>110</v>
      </c>
      <c r="E2" s="3">
        <f>D2*999</f>
        <v>109890</v>
      </c>
    </row>
    <row r="3" spans="1:5">
      <c r="A3" s="16">
        <v>45712</v>
      </c>
      <c r="B3" s="10" t="s">
        <v>7</v>
      </c>
      <c r="C3" s="12" t="s">
        <v>19</v>
      </c>
      <c r="D3" s="7">
        <v>98</v>
      </c>
      <c r="E3" s="3">
        <f>D3*888</f>
        <v>87024</v>
      </c>
    </row>
    <row r="4" spans="1:5">
      <c r="A4" s="16">
        <v>45714</v>
      </c>
      <c r="B4" s="11" t="s">
        <v>16</v>
      </c>
      <c r="C4" s="12" t="s">
        <v>13</v>
      </c>
      <c r="D4" s="8">
        <v>79</v>
      </c>
      <c r="E4" s="3">
        <f>D4*666</f>
        <v>52614</v>
      </c>
    </row>
    <row r="5" spans="1:5">
      <c r="A5" s="16">
        <v>45716</v>
      </c>
      <c r="B5" s="11" t="s">
        <v>20</v>
      </c>
      <c r="C5" s="10" t="s">
        <v>17</v>
      </c>
      <c r="D5" s="8">
        <v>88</v>
      </c>
      <c r="E5" s="3">
        <f>D5*999</f>
        <v>87912</v>
      </c>
    </row>
    <row r="6" spans="1:5">
      <c r="A6" s="16">
        <v>45717</v>
      </c>
      <c r="B6" s="11" t="s">
        <v>9</v>
      </c>
      <c r="C6" s="12" t="s">
        <v>10</v>
      </c>
      <c r="D6" s="8">
        <v>106</v>
      </c>
      <c r="E6" s="3">
        <f>D6*888</f>
        <v>94128</v>
      </c>
    </row>
    <row r="7" spans="1:5">
      <c r="A7" s="16"/>
      <c r="B7" s="11"/>
      <c r="C7" s="13"/>
      <c r="D7" s="8"/>
      <c r="E7" s="3"/>
    </row>
    <row r="8" spans="1:5">
      <c r="A8" s="16"/>
      <c r="B8" s="11"/>
      <c r="C8" s="13"/>
      <c r="D8" s="8"/>
      <c r="E8" s="3"/>
    </row>
    <row r="9" spans="1:5">
      <c r="A9" s="16"/>
      <c r="B9" s="11"/>
      <c r="C9" s="13"/>
      <c r="D9" s="8"/>
      <c r="E9" s="3"/>
    </row>
    <row r="10" spans="1:5">
      <c r="A10" s="19"/>
      <c r="B10" s="6"/>
      <c r="C10" s="4"/>
      <c r="D10" s="9" t="s">
        <v>14</v>
      </c>
      <c r="E10" s="5">
        <f>SUM(E2:E9)</f>
        <v>431568</v>
      </c>
    </row>
  </sheetData>
  <phoneticPr fontId="19"/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統計</vt:lpstr>
      <vt:lpstr>第1週</vt:lpstr>
      <vt:lpstr>第2週</vt:lpstr>
      <vt:lpstr>第3週</vt:lpstr>
      <vt:lpstr>第4週</vt:lpstr>
      <vt:lpstr>第5週</vt:lpstr>
      <vt:lpstr>第6週</vt:lpstr>
      <vt:lpstr>第7週</vt:lpstr>
      <vt:lpstr>第8週</vt:lpstr>
      <vt:lpstr>第9週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2016-08-17T02:56:16Z</dcterms:created>
  <dcterms:modified xsi:type="dcterms:W3CDTF">2026-01-16T06:47:58Z</dcterms:modified>
  <cp:category/>
  <cp:contentStatus/>
</cp:coreProperties>
</file>